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rigatórios" sheetId="1" state="visible" r:id="rId1"/>
    <sheet name="Opciona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1F1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6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2" customWidth="1" min="3" max="3"/>
    <col width="60" customWidth="1" min="4" max="4"/>
    <col width="45" customWidth="1" min="5" max="5"/>
    <col width="55" customWidth="1" min="6" max="6"/>
    <col width="11" customWidth="1" min="7" max="7"/>
  </cols>
  <sheetData>
    <row r="1">
      <c r="A1" s="1" t="inlineStr">
        <is>
          <t>#</t>
        </is>
      </c>
      <c r="B1" s="1" t="inlineStr">
        <is>
          <t>Critério</t>
        </is>
      </c>
      <c r="C1" s="1" t="inlineStr">
        <is>
          <t>Status</t>
        </is>
      </c>
      <c r="D1" s="1" t="inlineStr">
        <is>
          <t>Evidência no repositório</t>
        </is>
      </c>
      <c r="E1" s="1" t="inlineStr">
        <is>
          <t>Falta no código</t>
        </is>
      </c>
      <c r="F1" s="1" t="inlineStr">
        <is>
          <t>Falta a equipe fazer</t>
        </is>
      </c>
      <c r="G1" s="1" t="inlineStr">
        <is>
          <t>Entregue?</t>
        </is>
      </c>
    </row>
    <row r="2">
      <c r="A2" s="2" t="n">
        <v>1</v>
      </c>
      <c r="B2" s="2" t="inlineStr">
        <is>
          <t>≥ 80% do escopo acordado com os professores</t>
        </is>
      </c>
      <c r="C2" s="3" t="inlineStr">
        <is>
          <t>PARCIAL</t>
        </is>
      </c>
      <c r="D2" s="2" t="inlineStr">
        <is>
          <t>Serviços de aplicação para RF1–RF36 e RNF1–RNF12 em fai-application/.../service; entidades e migrações V1–V6; docs/novo-projeto/tabela-*.md.</t>
        </is>
      </c>
      <c r="E2" s="2" t="inlineStr">
        <is>
          <t>Bloco 8 (API REST de todos os serviços) e bloco 11 (frontend com todas as telas).</t>
        </is>
      </c>
      <c r="F2" s="2" t="inlineStr">
        <is>
          <t>Levar aos professores a lista de RFs do escopo acordado e marcar, RF a RF, onde está a tela e o endpoint (a planilha de IA/entidades do bloco 12 serve de checklist).</t>
        </is>
      </c>
      <c r="G2" s="2" t="inlineStr">
        <is>
          <t>Não</t>
        </is>
      </c>
    </row>
    <row r="3">
      <c r="A3" s="2" t="n">
        <v>2</v>
      </c>
      <c r="B3" s="2" t="inlineStr">
        <is>
          <t>Processo ágil documentado no TDE (sprints)</t>
        </is>
      </c>
      <c r="C3" s="4" t="inlineStr">
        <is>
          <t>PENDENTE</t>
        </is>
      </c>
      <c r="D3" s="2" t="inlineStr">
        <is>
          <t>Board do Trello com HUs/RFs; HUs e critérios de aceite em markdowns/HU*.md e markdowns/02-rf-reestruturados-e-criterios-aceite.md.</t>
        </is>
      </c>
      <c r="E3" s="2" t="inlineStr">
        <is>
          <t>—</t>
        </is>
      </c>
      <c r="F3" s="2" t="inlineStr">
        <is>
          <t>Para cada sprint: objetivo, cards comprometidos x entregues, print do board no início e no fim, review/retrospectiva curta, link dos commits/PRs da sprint. Preencher o modelo do TDE.</t>
        </is>
      </c>
      <c r="G3" s="2" t="inlineStr">
        <is>
          <t>Não</t>
        </is>
      </c>
    </row>
    <row r="4">
      <c r="A4" s="2" t="n">
        <v>3</v>
      </c>
      <c r="B4" s="2" t="inlineStr">
        <is>
          <t>Frontend bem acabado, mensagens informativas e resiliente a erros</t>
        </is>
      </c>
      <c r="C4" s="4" t="inlineStr">
        <is>
          <t>PENDENTE</t>
        </is>
      </c>
      <c r="D4" s="2" t="inlineStr">
        <is>
          <t>Backend já devolve erros de negócio com código e mensagem (ApiException, ex.: 409 PECA_INDISPONIVEL, 429 cota de IA, 422 validação); tipografia oficial (lib/design/typography.css) e 77 ícones FAI.</t>
        </is>
      </c>
      <c r="E4" s="2" t="inlineStr">
        <is>
          <t>Bloco 11: toasts de sucesso/erro, estados vazios, skeletons de carregamento, error boundary por página, retry em falha de rede, mensagens de fallback de IA.</t>
        </is>
      </c>
      <c r="F4" s="2" t="inlineStr">
        <is>
          <t>Na demo, provocar um erro de propósito (ex.: sem internet, campo inválido) e mostrar a mensagem.</t>
        </is>
      </c>
      <c r="G4" s="2" t="inlineStr">
        <is>
          <t>Não</t>
        </is>
      </c>
    </row>
    <row r="5">
      <c r="A5" s="2" t="n">
        <v>4</v>
      </c>
      <c r="B5" s="2" t="inlineStr">
        <is>
          <t>Backend RESTful comunicando via JSON</t>
        </is>
      </c>
      <c r="C5" s="3" t="inlineStr">
        <is>
          <t>PARCIAL</t>
        </is>
      </c>
      <c r="D5" s="2" t="inlineStr">
        <is>
          <t>Casos de uso prontos e compilando; DTOs/records em JSON; módulo fai-web.</t>
        </is>
      </c>
      <c r="E5" s="2" t="inlineStr">
        <is>
          <t>Bloco 8: controllers REST (substantivos no plural, verbos HTTP, 201/204/404/409/422), GlobalExceptionHandler com application/problem+json, OpenAPI.</t>
        </is>
      </c>
      <c r="F5" s="2" t="inlineStr">
        <is>
          <t>Mostrar o Swagger UI e uma chamada no DevTools (Network) com o JSON.</t>
        </is>
      </c>
      <c r="G5" s="2" t="inlineStr">
        <is>
          <t>Não</t>
        </is>
      </c>
    </row>
    <row r="6">
      <c r="A6" s="2" t="n">
        <v>5</v>
      </c>
      <c r="B6" s="2" t="inlineStr">
        <is>
          <t>Dados relevantes persistidos em banco</t>
        </is>
      </c>
      <c r="C6" s="5" t="inlineStr">
        <is>
          <t>OK</t>
        </is>
      </c>
      <c r="D6" s="2" t="inlineStr">
        <is>
          <t>MySQL via Flyway V1–V6 (JPA, UUID CHAR(36), campos sensíveis cifrados com AES-GCM); auditoria em audit_log; log de inferência de IA; Cassandra (timeline) e Redis (contadores/cache).</t>
        </is>
      </c>
      <c r="E6" s="2" t="inlineStr">
        <is>
          <t>Bloco 10: subir a aplicação contra o MySQL e validar ponta a ponta.</t>
        </is>
      </c>
      <c r="F6" s="2" t="inlineStr">
        <is>
          <t>Levar o diagrama ER (docs/novo-projeto/tabela-entidades-rf-bancos.md + markdowns/uml-casos-er-classes.md).</t>
        </is>
      </c>
      <c r="G6" s="2" t="inlineStr">
        <is>
          <t>Não</t>
        </is>
      </c>
    </row>
    <row r="7">
      <c r="A7" s="2" t="n">
        <v>6</v>
      </c>
      <c r="B7" s="2" t="inlineStr">
        <is>
          <t>≥ 2 perfis de acesso validados no frontend E no backend</t>
        </is>
      </c>
      <c r="C7" s="3" t="inlineStr">
        <is>
          <t>PARCIAL</t>
        </is>
      </c>
      <c r="D7" s="2" t="inlineStr">
        <is>
          <t>Perfis PESSOAL, MARCA e CELEBRIDADE (ProfileType) + papel USER/ADMIN (User.role); guard.requireAdmin em AdminService/ChallengeService/BackgroundStudioService; dashboard de emissor só para MARCA/CELEBRIDADE; ResourceOwnerAuthorizationTest.</t>
        </is>
      </c>
      <c r="E7" s="2" t="inlineStr">
        <is>
          <t>Bloco 8: @PreAuthorize/filtros por papel e 403 JSON. Bloco 11: guarda de rota e menus ocultos por perfil.</t>
        </is>
      </c>
      <c r="F7" s="2" t="inlineStr">
        <is>
          <t>Na demo: logar como PESSOAL e tentar abrir /admin (bloqueado na tela e 403 na API); logar como ADMIN e abrir.</t>
        </is>
      </c>
      <c r="G7" s="2" t="inlineStr">
        <is>
          <t>Não</t>
        </is>
      </c>
    </row>
    <row r="8">
      <c r="A8" s="2" t="n">
        <v>7</v>
      </c>
      <c r="B8" s="2" t="inlineStr">
        <is>
          <t>Dashboard gerencial com informações, filtros e gráficos</t>
        </is>
      </c>
      <c r="C8" s="3" t="inlineStr">
        <is>
          <t>PARCIAL</t>
        </is>
      </c>
      <c r="D8" s="2" t="inlineStr">
        <is>
          <t>DashboardService (admin e emissor), filtros período/país/tipo de perfil, alertas, layout de widgets salvo por usuário; V6 com procedures sp_admin_kpis/sp_timeseries, views vw_country_insights/vw_brand_usage e índices.</t>
        </is>
      </c>
      <c r="E8" s="2" t="inlineStr">
        <is>
          <t>Bloco 8 (endpoint /api/admin/dashboard) e bloco 11 (gráficos de linha/barra/pizza/mapa).</t>
        </is>
      </c>
      <c r="F8" s="2" t="inlineStr">
        <is>
          <t>Preparar 2–3 perguntas gerenciais que o dashboard responde (ex.: 'em qual país a IA custa mais por usuário?').</t>
        </is>
      </c>
      <c r="G8" s="2" t="inlineStr">
        <is>
          <t>Não</t>
        </is>
      </c>
    </row>
    <row r="9">
      <c r="A9" s="2" t="n">
        <v>8</v>
      </c>
      <c r="B9" s="2" t="inlineStr">
        <is>
          <t>Git organizado (branches, commits) com participação de TODOS os alunos</t>
        </is>
      </c>
      <c r="C9" s="6" t="inlineStr">
        <is>
          <t>RISCO</t>
        </is>
      </c>
      <c r="D9" s="2" t="inlineStr">
        <is>
          <t>Branches por feature e PRs (#8, #12); commits no padrão Conventional Commits (feat/fix/chore com RF no escopo). ATENÇÃO: `git shortlog -sn --all` neste repositório mostra commits só de Matheus + bots; nenhum do Bryan.</t>
        </is>
      </c>
      <c r="E9" s="2" t="inlineStr">
        <is>
          <t>—</t>
        </is>
      </c>
      <c r="F9" s="2" t="inlineStr">
        <is>
          <t>Bryan precisa commitar com a própria conta (docs das sprints, testes, telas, revisões de PR). Todo PR revisado/aprovado pelo outro integrante. Apresentar também o histórico do repositório SAI-TCC-2026. Confirmar com os professores a política sobre commits assistidos por IA (co-autoria aparece no log).</t>
        </is>
      </c>
      <c r="G9" s="2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4" customWidth="1" min="3" max="3"/>
    <col width="7" customWidth="1" min="4" max="4"/>
    <col width="16" customWidth="1" min="5" max="5"/>
    <col width="10" customWidth="1" min="6" max="6"/>
    <col width="14" customWidth="1" min="7" max="7"/>
    <col width="60" customWidth="1" min="8" max="8"/>
    <col width="55" customWidth="1" min="9" max="9"/>
  </cols>
  <sheetData>
    <row r="1">
      <c r="A1" s="1" t="inlineStr">
        <is>
          <t>Prioridade</t>
        </is>
      </c>
      <c r="B1" s="1" t="inlineStr">
        <is>
          <t>Critério</t>
        </is>
      </c>
      <c r="C1" s="1" t="inlineStr">
        <is>
          <t>Área</t>
        </is>
      </c>
      <c r="D1" s="1" t="inlineStr">
        <is>
          <t>Valor</t>
        </is>
      </c>
      <c r="E1" s="1" t="inlineStr">
        <is>
          <t>Meta</t>
        </is>
      </c>
      <c r="F1" s="1" t="inlineStr">
        <is>
          <t>Pontos previstos</t>
        </is>
      </c>
      <c r="G1" s="1" t="inlineStr">
        <is>
          <t>Status</t>
        </is>
      </c>
      <c r="H1" s="1" t="inlineStr">
        <is>
          <t>Evidência</t>
        </is>
      </c>
      <c r="I1" s="1" t="inlineStr">
        <is>
          <t>Ação</t>
        </is>
      </c>
    </row>
    <row r="2">
      <c r="A2" s="2" t="inlineStr">
        <is>
          <t>A</t>
        </is>
      </c>
      <c r="B2" s="2" t="inlineStr">
        <is>
          <t>SQL avançado: grouped queries, índices de regra de negócio, procedures</t>
        </is>
      </c>
      <c r="C2" s="2" t="inlineStr">
        <is>
          <t>Backend</t>
        </is>
      </c>
      <c r="D2" s="2" t="n">
        <v>1.5</v>
      </c>
      <c r="E2" s="2" t="inlineStr">
        <is>
          <t>100%</t>
        </is>
      </c>
      <c r="F2" s="2" t="n">
        <v>1.5</v>
      </c>
      <c r="G2" s="5" t="inlineStr">
        <is>
          <t>OK</t>
        </is>
      </c>
      <c r="H2" s="2" t="inlineStr">
        <is>
          <t>a) GROUP BY no MysqlAnalyticsAdapter (uso de IA, marcas, países, faixas de Hype/Inventory, funil de selos); b) índices UNIQUE que impõem regras (username/e-mail únicos, seguir 1×, 1 Look do Dia por dia, 1 reação por alvo, 1 voto por entrada de desafio, ledger idempotente de FAI Points) + índices de V6; c) procedures sp_admin_kpis, sp_timeseries, sp_purge_notifications e views.</t>
        </is>
      </c>
      <c r="I2" s="2" t="inlineStr">
        <is>
          <t>Mostrar o EXPLAIN de uma consulta do dashboard usando o índice.</t>
        </is>
      </c>
    </row>
    <row r="3">
      <c r="A3" s="2" t="inlineStr">
        <is>
          <t>A</t>
        </is>
      </c>
      <c r="B3" s="2" t="inlineStr">
        <is>
          <t>Serviços cloud relevantes (≥4)</t>
        </is>
      </c>
      <c r="C3" s="2" t="inlineStr">
        <is>
          <t>Backend</t>
        </is>
      </c>
      <c r="D3" s="2" t="n">
        <v>1.5</v>
      </c>
      <c r="E3" s="2" t="inlineStr">
        <is>
          <t>100%</t>
        </is>
      </c>
      <c r="F3" s="2" t="n">
        <v>1.5</v>
      </c>
      <c r="G3" s="3" t="inlineStr">
        <is>
          <t>PARCIAL</t>
        </is>
      </c>
      <c r="H3" s="2" t="inlineStr">
        <is>
          <t>Hospedagem Vercel; storage S3/Vercel Blob (fotos e cards); IA generativa (Claude, Gemini, FASHN, Meshy); e-mail transacional Resend; login federado Google; MySQL gerenciado.</t>
        </is>
      </c>
      <c r="I3" s="2" t="inlineStr">
        <is>
          <t>Bloco 9 (adaptadores) + deploy; no TDE, justificar cada serviço pelo problema de negócio.</t>
        </is>
      </c>
    </row>
    <row r="4">
      <c r="A4" s="2" t="inlineStr">
        <is>
          <t>A</t>
        </is>
      </c>
      <c r="B4" s="2" t="inlineStr">
        <is>
          <t>Responsivo e customizável (temas, mobile, tela customizável salva)</t>
        </is>
      </c>
      <c r="C4" s="2" t="inlineStr">
        <is>
          <t>Frontend</t>
        </is>
      </c>
      <c r="D4" s="2" t="n">
        <v>1.5</v>
      </c>
      <c r="E4" s="2" t="inlineStr">
        <is>
          <t>100%</t>
        </is>
      </c>
      <c r="F4" s="2" t="n">
        <v>1.5</v>
      </c>
      <c r="G4" s="3" t="inlineStr">
        <is>
          <t>PARCIAL</t>
        </is>
      </c>
      <c r="H4" s="2" t="inlineStr">
        <is>
          <t>Layout de widgets do dashboard salvo por usuário (user_preferences.dashboard_layout_json); Background Studio/skins de cards; tokens de tipografia.</t>
        </is>
      </c>
      <c r="I4" s="2" t="inlineStr">
        <is>
          <t>Bloco 11: temas claro/escuro/alto contraste, breakpoints mobile, arrastar/ocultar widgets com salvamento.</t>
        </is>
      </c>
    </row>
    <row r="5">
      <c r="A5" s="2" t="inlineStr">
        <is>
          <t>A</t>
        </is>
      </c>
      <c r="B5" s="2" t="inlineStr">
        <is>
          <t>Engenharia de requisitos (UML/BDD/jornadas) em ≥80% das sprints</t>
        </is>
      </c>
      <c r="C5" s="2" t="inlineStr">
        <is>
          <t>Eng. software</t>
        </is>
      </c>
      <c r="D5" s="2" t="n">
        <v>1</v>
      </c>
      <c r="E5" s="2" t="inlineStr">
        <is>
          <t>100%</t>
        </is>
      </c>
      <c r="F5" s="2" t="n">
        <v>1</v>
      </c>
      <c r="G5" s="3" t="inlineStr">
        <is>
          <t>PARCIAL</t>
        </is>
      </c>
      <c r="H5" s="2" t="inlineStr">
        <is>
          <t>HU01–HU20 com critérios de aceite, casos de uso e ER (markdowns/uml-*.md), diagramas de atividade (markdowns/05-diagramas-atividade.md, RF33_Vista-me_Atividades.puml), diagramas de sequência dos pipelines RF4/RF18.</t>
        </is>
      </c>
      <c r="I5" s="2" t="inlineStr">
        <is>
          <t>Marcar em cada sprint do TDE qual HU/diagrama modelou os cards daquela sprint.</t>
        </is>
      </c>
    </row>
    <row r="6">
      <c r="A6" s="2" t="inlineStr">
        <is>
          <t>A</t>
        </is>
      </c>
      <c r="B6" s="2" t="inlineStr">
        <is>
          <t>Documentação: OpenAPI com sumário/descrição, payloads reais, README completo</t>
        </is>
      </c>
      <c r="C6" s="2" t="inlineStr">
        <is>
          <t>Backend</t>
        </is>
      </c>
      <c r="D6" s="2" t="n">
        <v>1</v>
      </c>
      <c r="E6" s="2" t="inlineStr">
        <is>
          <t>100%</t>
        </is>
      </c>
      <c r="F6" s="2" t="n">
        <v>1</v>
      </c>
      <c r="G6" s="4" t="inlineStr">
        <is>
          <t>PENDENTE</t>
        </is>
      </c>
      <c r="H6" s="2" t="inlineStr">
        <is>
          <t>—</t>
        </is>
      </c>
      <c r="I6" s="2" t="inlineStr">
        <is>
          <t>Bloco 8: springdoc-openapi com @Operation/@ExampleObject por endpoint; README.md (o que é, como subir, como rodar).</t>
        </is>
      </c>
    </row>
    <row r="7">
      <c r="A7" s="2" t="inlineStr">
        <is>
          <t>A</t>
        </is>
      </c>
      <c r="B7" s="2" t="inlineStr">
        <is>
          <t>Migrações profissionais (evidência em ≥50% das sprints)</t>
        </is>
      </c>
      <c r="C7" s="2" t="inlineStr">
        <is>
          <t>Backend</t>
        </is>
      </c>
      <c r="D7" s="2" t="n">
        <v>1</v>
      </c>
      <c r="E7" s="2" t="inlineStr">
        <is>
          <t>30% agora → 100%</t>
        </is>
      </c>
      <c r="F7" s="2" t="n">
        <v>1</v>
      </c>
      <c r="G7" s="3" t="inlineStr">
        <is>
          <t>PARCIAL</t>
        </is>
      </c>
      <c r="H7" s="2" t="inlineStr">
        <is>
          <t>Flyway V1–V6 (baseline, RFs completos, seed de marcas, critérios, Meu Guarda-Roupa, dashboard). Hoje todas as migrações têm a mesma data de commit, o que só garante a faixa de 30%.</t>
        </is>
      </c>
      <c r="I7" s="2" t="inlineStr">
        <is>
          <t>A partir desta sprint, toda mudança de banco entra como V7, V8…, commitada na sprint em que foi feita; tabela 'migração × sprint' no TDE.</t>
        </is>
      </c>
    </row>
    <row r="8">
      <c r="A8" s="2" t="inlineStr">
        <is>
          <t>A</t>
        </is>
      </c>
      <c r="B8" s="2" t="inlineStr">
        <is>
          <t>Padrões de projeto e arquitetura limpa (backend)</t>
        </is>
      </c>
      <c r="C8" s="2" t="inlineStr">
        <is>
          <t>Backend</t>
        </is>
      </c>
      <c r="D8" s="2" t="n">
        <v>1</v>
      </c>
      <c r="E8" s="2" t="inlineStr">
        <is>
          <t>100%</t>
        </is>
      </c>
      <c r="F8" s="2" t="n">
        <v>1</v>
      </c>
      <c r="G8" s="5" t="inlineStr">
        <is>
          <t>OK</t>
        </is>
      </c>
      <c r="H8" s="2" t="inlineStr">
        <is>
          <t>Hexagonal em módulos Maven (domain/application/infrastructure/web/bootstrap), ports &amp; adapters, Strategy + Chain of Responsibility no AiEngine (provedor principal → fallback → local), Observer (DomainEvents), Repository, Circuit Breaker/Retry (resilience4j), Facade (DashboardService).</t>
        </is>
      </c>
      <c r="I8" s="2" t="inlineStr">
        <is>
          <t>Escrever docs/arquitetura/PADROES.md com um trecho de código por padrão e o motivo.</t>
        </is>
      </c>
    </row>
    <row r="9">
      <c r="A9" s="2" t="inlineStr">
        <is>
          <t>B</t>
        </is>
      </c>
      <c r="B9" s="2" t="inlineStr">
        <is>
          <t>Prototipação no Figma + checklist de usabilidade + teste filmado</t>
        </is>
      </c>
      <c r="C9" s="2" t="inlineStr">
        <is>
          <t>Eng. software</t>
        </is>
      </c>
      <c r="D9" s="2" t="n">
        <v>1.5</v>
      </c>
      <c r="E9" s="2" t="inlineStr">
        <is>
          <t>60–100%</t>
        </is>
      </c>
      <c r="F9" s="2" t="n">
        <v>0.9</v>
      </c>
      <c r="G9" s="3" t="inlineStr">
        <is>
          <t>PARCIAL</t>
        </is>
      </c>
      <c r="H9" s="2" t="inlineStr">
        <is>
          <t>Anatomias dos cards (docs/anatomias), pranchas de telas (markdowns/04-telas-artefatos-e-pranchas.md).</t>
        </is>
      </c>
      <c r="I9" s="2" t="inlineStr">
        <is>
          <t>Exportar telas para o Figma; aplicar checklist das 10 heurísticas de Nielsen; filmar 1 usuário usando o app (5 min).</t>
        </is>
      </c>
    </row>
    <row r="10">
      <c r="A10" s="2" t="inlineStr">
        <is>
          <t>B</t>
        </is>
      </c>
      <c r="B10" s="2" t="inlineStr">
        <is>
          <t>Internacionalização (textos, formatos, dados e moeda)</t>
        </is>
      </c>
      <c r="C10" s="2" t="inlineStr">
        <is>
          <t>Frontend</t>
        </is>
      </c>
      <c r="D10" s="2" t="n">
        <v>1.5</v>
      </c>
      <c r="E10" s="2" t="inlineStr">
        <is>
          <t>60–100%</t>
        </is>
      </c>
      <c r="F10" s="2" t="n">
        <v>0.9</v>
      </c>
      <c r="G10" s="4" t="inlineStr">
        <is>
          <t>PENDENTE</t>
        </is>
      </c>
      <c r="H10" s="2" t="inlineStr">
        <is>
          <t>Locale do usuário já existe nas preferências.</t>
        </is>
      </c>
      <c r="I10" s="2" t="inlineStr">
        <is>
          <t>Bloco 11: PT-BR/EN/ES com arquivos de mensagens; Intl.DateTimeFormat/NumberFormat; preços com moeda da loja.</t>
        </is>
      </c>
    </row>
    <row r="11">
      <c r="A11" s="2" t="inlineStr">
        <is>
          <t>B</t>
        </is>
      </c>
      <c r="B11" s="2" t="inlineStr">
        <is>
          <t>Acessibilidade (público, estratégias, teste com o público)</t>
        </is>
      </c>
      <c r="C11" s="2" t="inlineStr">
        <is>
          <t>Frontend</t>
        </is>
      </c>
      <c r="D11" s="2" t="n">
        <v>1.5</v>
      </c>
      <c r="E11" s="2" t="inlineStr">
        <is>
          <t>60–100%</t>
        </is>
      </c>
      <c r="F11" s="2" t="n">
        <v>0.9</v>
      </c>
      <c r="G11" s="4" t="inlineStr">
        <is>
          <t>PENDENTE</t>
        </is>
      </c>
      <c r="H11" s="2" t="inlineStr">
        <is>
          <t>—</t>
        </is>
      </c>
      <c r="I11" s="2" t="inlineStr">
        <is>
          <t>Público sugerido: pessoas com daltonismo (moda depende de cor). Estratégias: nome da cor em texto em toda peça, alto contraste, foco visível/teclado, alt text gerado. Teste com 3 pessoas e registrar.</t>
        </is>
      </c>
    </row>
    <row r="12">
      <c r="A12" s="2" t="inlineStr">
        <is>
          <t>B</t>
        </is>
      </c>
      <c r="B12" s="2" t="inlineStr">
        <is>
          <t>CI/CD por ambiente (dev, test, prod)</t>
        </is>
      </c>
      <c r="C12" s="2" t="inlineStr">
        <is>
          <t>DevOps</t>
        </is>
      </c>
      <c r="D12" s="2" t="n">
        <v>1.5</v>
      </c>
      <c r="E12" s="2" t="inlineStr">
        <is>
          <t>60–100%</t>
        </is>
      </c>
      <c r="F12" s="2" t="n">
        <v>0.9</v>
      </c>
      <c r="G12" s="3" t="inlineStr">
        <is>
          <t>PARCIAL</t>
        </is>
      </c>
      <c r="H12" s="2" t="inlineStr">
        <is>
          <t>Frontend já com deploys automáticos Preview/Production na Vercel e variáveis por ambiente.</t>
        </is>
      </c>
      <c r="I12" s="2" t="inlineStr">
        <is>
          <t>GitHub Actions: build + testes + JaCoCo em PR (test); deploy do backend em dev (branch) e prod (main).</t>
        </is>
      </c>
    </row>
    <row r="13">
      <c r="A13" s="2" t="inlineStr">
        <is>
          <t>B</t>
        </is>
      </c>
      <c r="B13" s="2" t="inlineStr">
        <is>
          <t>Monitoramento e observabilidade</t>
        </is>
      </c>
      <c r="C13" s="2" t="inlineStr">
        <is>
          <t>DevOps</t>
        </is>
      </c>
      <c r="D13" s="2" t="n">
        <v>1.5</v>
      </c>
      <c r="E13" s="2" t="inlineStr">
        <is>
          <t>60%</t>
        </is>
      </c>
      <c r="F13" s="2" t="n">
        <v>0.9</v>
      </c>
      <c r="G13" s="3" t="inlineStr">
        <is>
          <t>PARCIAL</t>
        </is>
      </c>
      <c r="H13" s="2" t="inlineStr">
        <is>
          <t>Actuator (health/metrics), audit_log, ai_inference_log com custo/latência, alertas no dashboard.</t>
        </is>
      </c>
      <c r="I13" s="2" t="inlineStr">
        <is>
          <t>Expor /actuator/prometheus e um painel Grafana Cloud com 1 alerta (erro 5xx ou custo de IA).</t>
        </is>
      </c>
    </row>
    <row r="14">
      <c r="A14" s="2" t="inlineStr">
        <is>
          <t>B</t>
        </is>
      </c>
      <c r="B14" s="2" t="inlineStr">
        <is>
          <t>Técnica/tecnologia livre (acordada até a 3ª sprint)</t>
        </is>
      </c>
      <c r="C14" s="2" t="inlineStr">
        <is>
          <t>Livre</t>
        </is>
      </c>
      <c r="D14" s="2" t="n">
        <v>1.5</v>
      </c>
      <c r="E14" s="2" t="inlineStr">
        <is>
          <t>100% se acordado</t>
        </is>
      </c>
      <c r="F14" s="2" t="n">
        <v>1.5</v>
      </c>
      <c r="G14" s="3" t="inlineStr">
        <is>
          <t>PARCIAL</t>
        </is>
      </c>
      <c r="H14" s="2" t="inlineStr">
        <is>
          <t>Pipelines de IA generativa: flat lay (RF4), provador virtual 2D (RF18), modelo 3D (Meshy), mosaico RF11.</t>
        </is>
      </c>
      <c r="I14" s="2" t="inlineStr">
        <is>
          <t>Confirmar com os professores se essa tecnologia foi registrada até a 3ª sprint.</t>
        </is>
      </c>
    </row>
    <row r="15">
      <c r="A15" s="2" t="inlineStr">
        <is>
          <t>B</t>
        </is>
      </c>
      <c r="B15" s="2" t="inlineStr">
        <is>
          <t>Processo de qualidade (plano de testes, revisão no git, reprovações de QA)</t>
        </is>
      </c>
      <c r="C15" s="2" t="inlineStr">
        <is>
          <t>Eng. software</t>
        </is>
      </c>
      <c r="D15" s="2" t="n">
        <v>1</v>
      </c>
      <c r="E15" s="2" t="inlineStr">
        <is>
          <t>60–100%</t>
        </is>
      </c>
      <c r="F15" s="2" t="n">
        <v>0.6</v>
      </c>
      <c r="G15" s="4" t="inlineStr">
        <is>
          <t>PENDENTE</t>
        </is>
      </c>
      <c r="H15" s="2" t="inlineStr">
        <is>
          <t>Critérios de aceite por RF (CA01..) já servem de casos de teste.</t>
        </is>
      </c>
      <c r="I15" s="2" t="inlineStr">
        <is>
          <t>Plano de testes por sprint a partir dos CAs; coluna 'QA' no Trello com cards reprovados; revisão obrigatória em PR.</t>
        </is>
      </c>
    </row>
    <row r="16">
      <c r="A16" s="2" t="inlineStr">
        <is>
          <t>B</t>
        </is>
      </c>
      <c r="B16" s="2" t="inlineStr">
        <is>
          <t>Cobertura de testes do backend (JaCoCo)</t>
        </is>
      </c>
      <c r="C16" s="2" t="inlineStr">
        <is>
          <t>Backend</t>
        </is>
      </c>
      <c r="D16" s="2" t="n">
        <v>1</v>
      </c>
      <c r="E16" s="2" t="inlineStr">
        <is>
          <t>50% (0,6)</t>
        </is>
      </c>
      <c r="F16" s="2" t="n">
        <v>0.6</v>
      </c>
      <c r="G16" s="4" t="inlineStr">
        <is>
          <t>PENDENTE</t>
        </is>
      </c>
      <c r="H16" s="2" t="inlineStr">
        <is>
          <t>Serviços puros e testáveis (Hype, Inventory Score, RoomAddress, faixas de clima, cursor de busca).</t>
        </is>
      </c>
      <c r="I16" s="2" t="inlineStr">
        <is>
          <t>Bloco 10: JaCoCo no pom + testes unitários das regras de cálculo; relatório HTML como evidência.</t>
        </is>
      </c>
    </row>
    <row r="17">
      <c r="A17" s="2" t="inlineStr">
        <is>
          <t>B</t>
        </is>
      </c>
      <c r="B17" s="2" t="inlineStr">
        <is>
          <t>Padrões de projeto e arquitetura limpa (frontend)</t>
        </is>
      </c>
      <c r="C17" s="2" t="inlineStr">
        <is>
          <t>Frontend</t>
        </is>
      </c>
      <c r="D17" s="2" t="n">
        <v>1</v>
      </c>
      <c r="E17" s="2" t="inlineStr">
        <is>
          <t>100%</t>
        </is>
      </c>
      <c r="F17" s="2" t="n">
        <v>1</v>
      </c>
      <c r="G17" s="4" t="inlineStr">
        <is>
          <t>PENDENTE</t>
        </is>
      </c>
      <c r="H17" s="2" t="inlineStr">
        <is>
          <t>—</t>
        </is>
      </c>
      <c r="I17" s="2" t="inlineStr">
        <is>
          <t>Bloco 11: camadas api/ (client), hooks/, components/, features/; Adapter para a API; Provider para tema/i18n.</t>
        </is>
      </c>
    </row>
    <row r="18">
      <c r="A18" s="2" t="inlineStr">
        <is>
          <t>C</t>
        </is>
      </c>
      <c r="B18" s="2" t="inlineStr">
        <is>
          <t>NoSQL avançado (JSON Schema, índices/TTL, aggregation/sharding)</t>
        </is>
      </c>
      <c r="C18" s="2" t="inlineStr">
        <is>
          <t>Backend</t>
        </is>
      </c>
      <c r="D18" s="2" t="n">
        <v>1.5</v>
      </c>
      <c r="E18" s="2" t="inlineStr">
        <is>
          <t>30–60%</t>
        </is>
      </c>
      <c r="F18" s="2" t="n">
        <v>0.45</v>
      </c>
      <c r="G18" s="3" t="inlineStr">
        <is>
          <t>PARCIAL</t>
        </is>
      </c>
      <c r="H18" s="2" t="inlineStr">
        <is>
          <t>Cassandra (timeline particionada por usuário) e Redis com TTL (cache, rate limit).</t>
        </is>
      </c>
      <c r="I18" s="2" t="inlineStr">
        <is>
          <t>Só vale se sobrar tempo: TTL explícito nas tabelas do Cassandra + validação de schema do payload.</t>
        </is>
      </c>
    </row>
    <row r="19">
      <c r="A19" s="2" t="inlineStr">
        <is>
          <t>C</t>
        </is>
      </c>
      <c r="B19" s="2" t="inlineStr">
        <is>
          <t>Microsserviços</t>
        </is>
      </c>
      <c r="C19" s="2" t="inlineStr">
        <is>
          <t>Backend</t>
        </is>
      </c>
      <c r="D19" s="2" t="n">
        <v>1.5</v>
      </c>
      <c r="E19" s="2" t="inlineStr">
        <is>
          <t>—</t>
        </is>
      </c>
      <c r="F19" s="2" t="n">
        <v>0</v>
      </c>
      <c r="G19" s="7" t="inlineStr">
        <is>
          <t>NÃO SE APLICA</t>
        </is>
      </c>
      <c r="H19" s="2" t="inlineStr">
        <is>
          <t>Arquitetura é monólito modular hexagonal (decisão consciente).</t>
        </is>
      </c>
      <c r="I19" s="2" t="inlineStr">
        <is>
          <t>Não perseguir.</t>
        </is>
      </c>
    </row>
    <row r="20">
      <c r="A20" s="2" t="inlineStr">
        <is>
          <t>C</t>
        </is>
      </c>
      <c r="B20" s="2" t="inlineStr">
        <is>
          <t>Service Discovery + API Gateway</t>
        </is>
      </c>
      <c r="C20" s="2" t="inlineStr">
        <is>
          <t>Backend</t>
        </is>
      </c>
      <c r="D20" s="2" t="n">
        <v>1</v>
      </c>
      <c r="E20" s="2" t="inlineStr">
        <is>
          <t>—</t>
        </is>
      </c>
      <c r="F20" s="2" t="n">
        <v>0</v>
      </c>
      <c r="G20" s="7" t="inlineStr">
        <is>
          <t>NÃO SE APLICA</t>
        </is>
      </c>
      <c r="H20" s="2" t="inlineStr">
        <is>
          <t>—</t>
        </is>
      </c>
      <c r="I20" s="2" t="inlineStr">
        <is>
          <t>Não perseguir.</t>
        </is>
      </c>
    </row>
    <row r="21">
      <c r="A21" s="2" t="inlineStr">
        <is>
          <t>C</t>
        </is>
      </c>
      <c r="B21" s="2" t="inlineStr">
        <is>
          <t>Cobertura de testes do frontend</t>
        </is>
      </c>
      <c r="C21" s="2" t="inlineStr">
        <is>
          <t>Frontend</t>
        </is>
      </c>
      <c r="D21" s="2" t="n">
        <v>1</v>
      </c>
      <c r="E21" s="2" t="inlineStr">
        <is>
          <t>20% (0,3)</t>
        </is>
      </c>
      <c r="F21" s="2" t="n">
        <v>0.3</v>
      </c>
      <c r="G21" s="4" t="inlineStr">
        <is>
          <t>PENDENTE</t>
        </is>
      </c>
      <c r="H21" s="2" t="inlineStr">
        <is>
          <t>—</t>
        </is>
      </c>
      <c r="I21" s="2" t="inlineStr">
        <is>
          <t>Opcional: Vitest nos componentes utilitários.</t>
        </is>
      </c>
    </row>
    <row r="22">
      <c r="A22" s="2" t="inlineStr">
        <is>
          <t>C</t>
        </is>
      </c>
      <c r="B22" s="2" t="inlineStr">
        <is>
          <t>Infraestrutura como código</t>
        </is>
      </c>
      <c r="C22" s="2" t="inlineStr">
        <is>
          <t>DevOps</t>
        </is>
      </c>
      <c r="D22" s="2" t="n">
        <v>1</v>
      </c>
      <c r="E22" s="2" t="inlineStr">
        <is>
          <t>30–60%</t>
        </is>
      </c>
      <c r="F22" s="2" t="n">
        <v>0.3</v>
      </c>
      <c r="G22" s="4" t="inlineStr">
        <is>
          <t>PENDENTE</t>
        </is>
      </c>
      <c r="H22" s="2" t="inlineStr">
        <is>
          <t>—</t>
        </is>
      </c>
      <c r="I22" s="2" t="inlineStr">
        <is>
          <t>docker-compose.dev.yml (bloco 9) conta como parcial; Terraform só se sobrar tempo.</t>
        </is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/>
      <c r="B24" s="8" t="inlineStr">
        <is>
          <t>Total previsto — prioridade A</t>
        </is>
      </c>
      <c r="C24" s="2" t="inlineStr"/>
      <c r="D24" s="2" t="inlineStr"/>
      <c r="E24" s="2" t="inlineStr"/>
      <c r="F24" s="2">
        <f>SUMIF(A2:A22,"A",F2:F22)</f>
        <v/>
      </c>
      <c r="G24" s="2" t="n"/>
      <c r="H24" s="2" t="n"/>
      <c r="I24" s="2" t="n"/>
    </row>
    <row r="25">
      <c r="A25" s="2" t="inlineStr"/>
      <c r="B25" s="8" t="inlineStr">
        <is>
          <t>Total previsto — prioridade B</t>
        </is>
      </c>
      <c r="C25" s="2" t="inlineStr"/>
      <c r="D25" s="2" t="inlineStr"/>
      <c r="E25" s="2" t="inlineStr"/>
      <c r="F25" s="2">
        <f>SUMIF(A2:A22,"B",F2:F22)</f>
        <v/>
      </c>
      <c r="G25" s="2" t="n"/>
      <c r="H25" s="2" t="n"/>
      <c r="I25" s="2" t="n"/>
    </row>
    <row r="26">
      <c r="A26" s="2" t="inlineStr"/>
      <c r="B26" s="8" t="inlineStr">
        <is>
          <t>Obrigatórios (se todos entregues)</t>
        </is>
      </c>
      <c r="C26" s="2" t="inlineStr"/>
      <c r="D26" s="2" t="inlineStr"/>
      <c r="E26" s="2" t="inlineStr"/>
      <c r="F26" s="2" t="n">
        <v>2.5</v>
      </c>
      <c r="G26" s="2" t="n"/>
      <c r="H26" s="2" t="n"/>
      <c r="I26" s="2" t="n"/>
    </row>
    <row r="27">
      <c r="A27" s="2" t="inlineStr"/>
      <c r="B27" s="8" t="inlineStr">
        <is>
          <t>Nota prevista (A + obrigatórios)</t>
        </is>
      </c>
      <c r="C27" s="2" t="inlineStr"/>
      <c r="D27" s="2" t="inlineStr"/>
      <c r="E27" s="2" t="inlineStr"/>
      <c r="F27" s="2">
        <f>F24+F26</f>
        <v/>
      </c>
      <c r="G27" s="2" t="n"/>
      <c r="H27" s="2" t="n"/>
      <c r="I2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2026-09-23T18:28:19Z</dcterms:created>
  <dcterms:modified xsi:type="dcterms:W3CDTF">2026-09-23T18:28:19Z</dcterms:modified>
</cp:coreProperties>
</file>