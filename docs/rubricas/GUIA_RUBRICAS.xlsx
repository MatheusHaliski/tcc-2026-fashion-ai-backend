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brigatórios" sheetId="1" state="visible" r:id="rId1"/>
    <sheet name="Opciona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1F1F1F"/>
      </patternFill>
    </fill>
    <fill>
      <patternFill patternType="solid">
        <fgColor rgb="00FFEB9C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5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60" customWidth="1" min="4" max="4"/>
    <col width="45" customWidth="1" min="5" max="5"/>
    <col width="55" customWidth="1" min="6" max="6"/>
    <col width="11" customWidth="1" min="7" max="7"/>
  </cols>
  <sheetData>
    <row r="1">
      <c r="A1" s="1" t="inlineStr">
        <is>
          <t>#</t>
        </is>
      </c>
      <c r="B1" s="1" t="inlineStr">
        <is>
          <t>Critério</t>
        </is>
      </c>
      <c r="C1" s="1" t="inlineStr">
        <is>
          <t>Status</t>
        </is>
      </c>
      <c r="D1" s="1" t="inlineStr">
        <is>
          <t>Evidência no repositório</t>
        </is>
      </c>
      <c r="E1" s="1" t="inlineStr">
        <is>
          <t>Falta no código</t>
        </is>
      </c>
      <c r="F1" s="1" t="inlineStr">
        <is>
          <t>Falta a equipe fazer</t>
        </is>
      </c>
      <c r="G1" s="1" t="inlineStr">
        <is>
          <t>Entregue?</t>
        </is>
      </c>
    </row>
    <row r="2">
      <c r="A2" s="2" t="n">
        <v>1</v>
      </c>
      <c r="B2" s="2" t="inlineStr">
        <is>
          <t>≥ 80% do escopo acordado com os professores</t>
        </is>
      </c>
      <c r="C2" s="3" t="inlineStr">
        <is>
          <t>OK</t>
        </is>
      </c>
      <c r="D2" s="2" t="inlineStr">
        <is>
          <t>39 RFs do Trello (RF1–RF39) com endpoint e tela; 368 endpoints REST no inventário; teste ponta a ponta com 452 passos cobrindo todos os endpoints (docs/testes/TABELA_ENDPOINTS_POR_RF.md/.xlsx: RF, CA, endpoint, status, banco em que salvou, tela que exibe). Planilhas da etapa 12 (docs/planilhas/) servem de checklist RF a RF.</t>
        </is>
      </c>
      <c r="E2" s="2" t="inlineStr">
        <is>
          <t>—</t>
        </is>
      </c>
      <c r="F2" s="2" t="inlineStr">
        <is>
          <t>Levar aos professores a lista de RFs do escopo acordado e a tabela de endpoints por RF; confirmar se RF33–RF39 (Passarela 3D, Eras, Coleções, Foto com manequim, FLAIR, Cupons, Criar guarda-roupa 3D) entram no escopo.</t>
        </is>
      </c>
      <c r="G2" s="2" t="inlineStr">
        <is>
          <t>Não</t>
        </is>
      </c>
    </row>
    <row r="3">
      <c r="A3" s="2" t="n">
        <v>2</v>
      </c>
      <c r="B3" s="2" t="inlineStr">
        <is>
          <t>Processo ágil documentado no TDE (sprints)</t>
        </is>
      </c>
      <c r="C3" s="4" t="inlineStr">
        <is>
          <t>PENDENTE</t>
        </is>
      </c>
      <c r="D3" s="2" t="inlineStr">
        <is>
          <t>Board do Trello com RF1–RF39 (critérios de aceite nos cards); HUs e CAs em markdowns/; histórico de commits por RF.</t>
        </is>
      </c>
      <c r="E3" s="2" t="inlineStr">
        <is>
          <t>—</t>
        </is>
      </c>
      <c r="F3" s="2" t="inlineStr">
        <is>
          <t>Para cada sprint: objetivo, cards comprometidos x entregues, print do board no início e no fim, review/retrospectiva curta, link dos commits/PRs da sprint. Preencher o modelo do TDE.</t>
        </is>
      </c>
      <c r="G3" s="2" t="inlineStr">
        <is>
          <t>Não</t>
        </is>
      </c>
    </row>
    <row r="4">
      <c r="A4" s="2" t="n">
        <v>3</v>
      </c>
      <c r="B4" s="2" t="inlineStr">
        <is>
          <t>Frontend bem acabado, mensagens informativas e resiliente a erros</t>
        </is>
      </c>
      <c r="C4" s="3" t="inlineStr">
        <is>
          <t>OK</t>
        </is>
      </c>
      <c r="D4" s="2" t="inlineStr">
        <is>
          <t>Next.js com toasts de sucesso/erro (useToast), EmptyState, ErrorState com 'tentar de novo', Skeleton de carregamento, mensagens de negócio vindas da API (409/422/429), aviso de fallback de IA (motor local) e status por fonte no buscador de marcas; capturas em docs/novos-rf/telas-*/.</t>
        </is>
      </c>
      <c r="E4" s="2" t="inlineStr">
        <is>
          <t>—</t>
        </is>
      </c>
      <c r="F4" s="2" t="inlineStr">
        <is>
          <t>Na demo, provocar um erro de propósito (campo inválido, peça indisponível no look) e mostrar a mensagem.</t>
        </is>
      </c>
      <c r="G4" s="2" t="inlineStr">
        <is>
          <t>Não</t>
        </is>
      </c>
    </row>
    <row r="5">
      <c r="A5" s="2" t="n">
        <v>4</v>
      </c>
      <c r="B5" s="2" t="inlineStr">
        <is>
          <t>Backend RESTful comunicando via JSON</t>
        </is>
      </c>
      <c r="C5" s="3" t="inlineStr">
        <is>
          <t>OK</t>
        </is>
      </c>
      <c r="D5" s="2" t="inlineStr">
        <is>
          <t>368 endpoints REST (fai-web/.../controller) com verbos e códigos HTTP (200/201/202/204/400/403/404/409/422/429), GlobalExceptionHandler com JSON de erro (code, message, details, correlationId), springdoc-openapi + Swagger UI.</t>
        </is>
      </c>
      <c r="E5" s="2" t="inlineStr">
        <is>
          <t>—</t>
        </is>
      </c>
      <c r="F5" s="2" t="inlineStr">
        <is>
          <t>Mostrar o Swagger UI e uma chamada no DevTools (Network) com o JSON.</t>
        </is>
      </c>
      <c r="G5" s="2" t="inlineStr">
        <is>
          <t>Não</t>
        </is>
      </c>
    </row>
    <row r="6">
      <c r="A6" s="2" t="n">
        <v>5</v>
      </c>
      <c r="B6" s="2" t="inlineStr">
        <is>
          <t>Dados relevantes persistidos em banco</t>
        </is>
      </c>
      <c r="C6" s="3" t="inlineStr">
        <is>
          <t>OK</t>
        </is>
      </c>
      <c r="D6" s="2" t="inlineStr">
        <is>
          <t>MySQL com Flyway V1–V21 (79 entidades JPA; campos sensíveis cifrados com AES-GCM); audit_log; ai_inference_log; prova por endpoint do que foi gravado (general_log do MySQL) em docs/testes/; projeções Redis/Cassandra/OpenSearch e mídia em S3 atrás de feature flags (docs/planilhas/Entidades_BD_por_RF_RNF.xlsx).</t>
        </is>
      </c>
      <c r="E6" s="2" t="inlineStr">
        <is>
          <t>—</t>
        </is>
      </c>
      <c r="F6" s="2" t="inlineStr">
        <is>
          <t>Levar o diagrama de classes v4 (docs/diagramas/fashionai-classes-v4.puml) e a planilha de entidades por RF.</t>
        </is>
      </c>
      <c r="G6" s="2" t="inlineStr">
        <is>
          <t>Não</t>
        </is>
      </c>
    </row>
    <row r="7">
      <c r="A7" s="2" t="n">
        <v>6</v>
      </c>
      <c r="B7" s="2" t="inlineStr">
        <is>
          <t>≥ 2 perfis de acesso validados no frontend E no backend</t>
        </is>
      </c>
      <c r="C7" s="3" t="inlineStr">
        <is>
          <t>OK</t>
        </is>
      </c>
      <c r="D7" s="2" t="inlineStr">
        <is>
          <t>Perfis PESSOAL, MARCA e CELEBRIDADE + papel ADMIN; guard.requireAdmin/requireOwner no backend (403 ACESSO_NEGADO testado no E2E, ex.: usuário comum no criador de guarda-roupa RF39 e no admin); menus e rotas por perfil no frontend (aba Criar guarda-roupa 3D só para MARCA/CELEBRIDADE; /admin só para ADMIN); ResourceOwnerAuthorizationTest.</t>
        </is>
      </c>
      <c r="E7" s="2" t="inlineStr">
        <is>
          <t>—</t>
        </is>
      </c>
      <c r="F7" s="2" t="inlineStr">
        <is>
          <t>Na demo: logar como PESSOAL e tentar abrir /admin (bloqueado na tela e 403 na API); logar como ADMIN e abrir.</t>
        </is>
      </c>
      <c r="G7" s="2" t="inlineStr">
        <is>
          <t>Não</t>
        </is>
      </c>
    </row>
    <row r="8">
      <c r="A8" s="2" t="n">
        <v>7</v>
      </c>
      <c r="B8" s="2" t="inlineStr">
        <is>
          <t>Dashboard gerencial com informações, filtros e gráficos</t>
        </is>
      </c>
      <c r="C8" s="3" t="inlineStr">
        <is>
          <t>OK</t>
        </is>
      </c>
      <c r="D8" s="2" t="inlineStr">
        <is>
          <t>/admin/dashboard e dashboard do emissor (marca/celebridade) com filtros período/país/tipo de perfil, gráficos e widgets salvos por usuário; procedures sp_admin_kpis/sp_timeseries e views (V6); endpoints testados no E2E.</t>
        </is>
      </c>
      <c r="E8" s="2" t="inlineStr">
        <is>
          <t>—</t>
        </is>
      </c>
      <c r="F8" s="2" t="inlineStr">
        <is>
          <t>Preparar 2–3 perguntas gerenciais que o dashboard responde (ex.: 'em qual país a IA custa mais por usuário?').</t>
        </is>
      </c>
      <c r="G8" s="2" t="inlineStr">
        <is>
          <t>Não</t>
        </is>
      </c>
    </row>
    <row r="9">
      <c r="A9" s="2" t="n">
        <v>8</v>
      </c>
      <c r="B9" s="2" t="inlineStr">
        <is>
          <t>Git organizado (branches, commits) com participação de TODOS os alunos</t>
        </is>
      </c>
      <c r="C9" s="5" t="inlineStr">
        <is>
          <t>RISCO</t>
        </is>
      </c>
      <c r="D9" s="2" t="inlineStr">
        <is>
          <t>Branch por frente e commits no padrão Conventional Commits com o RF no escopo. ATENÇÃO: `git shortlog -sn --all` mostrava em 24/09 Matheus (82), Claude (42) e copilot (10); nenhum commit do Bryan.</t>
        </is>
      </c>
      <c r="E9" s="2" t="inlineStr">
        <is>
          <t>—</t>
        </is>
      </c>
      <c r="F9" s="2" t="inlineStr">
        <is>
          <t>Bryan precisa commitar com a própria conta (docs das sprints, testes, telas, revisões de PR). Todo PR revisado/aprovado pelo outro integrante. Confirmar com os professores a política sobre commits assistidos por IA (a co-autoria aparece no log).</t>
        </is>
      </c>
      <c r="G9" s="2" t="inlineStr">
        <is>
          <t>Não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14" customWidth="1" min="3" max="3"/>
    <col width="7" customWidth="1" min="4" max="4"/>
    <col width="16" customWidth="1" min="5" max="5"/>
    <col width="10" customWidth="1" min="6" max="6"/>
    <col width="14" customWidth="1" min="7" max="7"/>
    <col width="60" customWidth="1" min="8" max="8"/>
    <col width="55" customWidth="1" min="9" max="9"/>
  </cols>
  <sheetData>
    <row r="1">
      <c r="A1" s="1" t="inlineStr">
        <is>
          <t>Prioridade</t>
        </is>
      </c>
      <c r="B1" s="1" t="inlineStr">
        <is>
          <t>Critério</t>
        </is>
      </c>
      <c r="C1" s="1" t="inlineStr">
        <is>
          <t>Área</t>
        </is>
      </c>
      <c r="D1" s="1" t="inlineStr">
        <is>
          <t>Valor</t>
        </is>
      </c>
      <c r="E1" s="1" t="inlineStr">
        <is>
          <t>Meta</t>
        </is>
      </c>
      <c r="F1" s="1" t="inlineStr">
        <is>
          <t>Pontos previstos</t>
        </is>
      </c>
      <c r="G1" s="1" t="inlineStr">
        <is>
          <t>Status</t>
        </is>
      </c>
      <c r="H1" s="1" t="inlineStr">
        <is>
          <t>Evidência</t>
        </is>
      </c>
      <c r="I1" s="1" t="inlineStr">
        <is>
          <t>Ação</t>
        </is>
      </c>
    </row>
    <row r="2">
      <c r="A2" s="2" t="inlineStr">
        <is>
          <t>A</t>
        </is>
      </c>
      <c r="B2" s="2" t="inlineStr">
        <is>
          <t>SQL avançado: grouped queries, índices de regra de negócio, procedures</t>
        </is>
      </c>
      <c r="C2" s="2" t="inlineStr">
        <is>
          <t>Backend</t>
        </is>
      </c>
      <c r="D2" s="2" t="n">
        <v>1.5</v>
      </c>
      <c r="E2" s="2" t="inlineStr">
        <is>
          <t>100%</t>
        </is>
      </c>
      <c r="F2" s="2" t="n">
        <v>1.5</v>
      </c>
      <c r="G2" s="3" t="inlineStr">
        <is>
          <t>OK</t>
        </is>
      </c>
      <c r="H2" s="2" t="inlineStr">
        <is>
          <t>a) GROUP BY no MysqlAnalyticsAdapter (uso de IA, marcas, países, faixas de Hype/Inventory, funil de selos); b) índices UNIQUE que impõem regras (username/e-mail únicos, seguir 1×, 1 Look do Dia por dia, 1 reação por alvo, 1 voto por entrada de desafio, ledger idempotente de FAI Points); c) procedures sp_admin_kpis, sp_timeseries, sp_purge_notifications e views; EXPLAIN em docs/banco/EXPLAIN_DASHBOARD.md.</t>
        </is>
      </c>
      <c r="I2" s="2" t="inlineStr">
        <is>
          <t>Mostrar o EXPLAIN de uma consulta do dashboard usando o índice.</t>
        </is>
      </c>
    </row>
    <row r="3">
      <c r="A3" s="2" t="inlineStr">
        <is>
          <t>A</t>
        </is>
      </c>
      <c r="B3" s="2" t="inlineStr">
        <is>
          <t>Serviços cloud relevantes (≥4)</t>
        </is>
      </c>
      <c r="C3" s="2" t="inlineStr">
        <is>
          <t>Backend</t>
        </is>
      </c>
      <c r="D3" s="2" t="n">
        <v>1.5</v>
      </c>
      <c r="E3" s="2" t="inlineStr">
        <is>
          <t>100%</t>
        </is>
      </c>
      <c r="F3" s="2" t="n">
        <v>1.5</v>
      </c>
      <c r="G3" s="6" t="inlineStr">
        <is>
          <t>PARCIAL</t>
        </is>
      </c>
      <c r="H3" s="2" t="inlineStr">
        <is>
          <t>Adaptadores prontos: S3 (mídia), Claude/Gemini/FASHN/Meshy/Photoroom (IA), Resend (e-mail), Open-Meteo (clima), Wikidata/GitHub (buscador de marcas); frontend na Vercel. Neste ambiente só o GitHub é alcançável (rede restrita) e não há chaves de IA: tudo roda no fallback local.</t>
        </is>
      </c>
      <c r="I3" s="2" t="inlineStr">
        <is>
          <t>Deploy com as chaves reais; no TDE, justificar cada serviço pelo problema de negócio e mostrar 1 chamada real de cada.</t>
        </is>
      </c>
    </row>
    <row r="4">
      <c r="A4" s="2" t="inlineStr">
        <is>
          <t>A</t>
        </is>
      </c>
      <c r="B4" s="2" t="inlineStr">
        <is>
          <t>Responsivo e customizável (temas, mobile, tela customizável salva)</t>
        </is>
      </c>
      <c r="C4" s="2" t="inlineStr">
        <is>
          <t>Frontend</t>
        </is>
      </c>
      <c r="D4" s="2" t="n">
        <v>1.5</v>
      </c>
      <c r="E4" s="2" t="inlineStr">
        <is>
          <t>100%</t>
        </is>
      </c>
      <c r="F4" s="2" t="n">
        <v>1.5</v>
      </c>
      <c r="G4" s="3" t="inlineStr">
        <is>
          <t>OK</t>
        </is>
      </c>
      <c r="H4" s="2" t="inlineStr">
        <is>
          <t>Temas claro/escuro/alto contraste (data-theme), cor do container e fundo da interface salvos em user_preferences, widgets do dashboard salvos por usuário, Background Studio/skins de cards, layout mobile com menu recolhível.</t>
        </is>
      </c>
      <c r="I4" s="2" t="inlineStr">
        <is>
          <t>Na demo, trocar o tema e mostrar a tela no celular.</t>
        </is>
      </c>
    </row>
    <row r="5">
      <c r="A5" s="2" t="inlineStr">
        <is>
          <t>A</t>
        </is>
      </c>
      <c r="B5" s="2" t="inlineStr">
        <is>
          <t>Engenharia de requisitos (UML/BDD/jornadas) em ≥80% das sprints</t>
        </is>
      </c>
      <c r="C5" s="2" t="inlineStr">
        <is>
          <t>Eng. software</t>
        </is>
      </c>
      <c r="D5" s="2" t="n">
        <v>1</v>
      </c>
      <c r="E5" s="2" t="inlineStr">
        <is>
          <t>100%</t>
        </is>
      </c>
      <c r="F5" s="2" t="n">
        <v>1</v>
      </c>
      <c r="G5" s="3" t="inlineStr">
        <is>
          <t>OK</t>
        </is>
      </c>
      <c r="H5" s="2" t="inlineStr">
        <is>
          <t>Pacote de diagramas 13 (atividades, sequência, estados, classes e componentes de RF1–RF39; RF25–RF39 gerados do código; RF4 v3 e RF5 v4 com o buscador de marcas); CAs por RF nos cards do Trello.</t>
        </is>
      </c>
      <c r="I5" s="2" t="inlineStr">
        <is>
          <t>Marcar em cada sprint do TDE qual diagrama modelou os cards daquela sprint.</t>
        </is>
      </c>
    </row>
    <row r="6">
      <c r="A6" s="2" t="inlineStr">
        <is>
          <t>A</t>
        </is>
      </c>
      <c r="B6" s="2" t="inlineStr">
        <is>
          <t>Documentação: OpenAPI com sumário/descrição, payloads reais, README completo</t>
        </is>
      </c>
      <c r="C6" s="2" t="inlineStr">
        <is>
          <t>Backend</t>
        </is>
      </c>
      <c r="D6" s="2" t="n">
        <v>1</v>
      </c>
      <c r="E6" s="2" t="inlineStr">
        <is>
          <t>100%</t>
        </is>
      </c>
      <c r="F6" s="2" t="n">
        <v>1</v>
      </c>
      <c r="G6" s="3" t="inlineStr">
        <is>
          <t>OK</t>
        </is>
      </c>
      <c r="H6" s="2" t="inlineStr">
        <is>
          <t>springdoc-openapi com @Operation (RF/CA no sumário) em todos os endpoints; README; payloads reais de cada endpoint nos cartões de evidência do teste ponta a ponta (docs/testes/).</t>
        </is>
      </c>
      <c r="I6" s="2" t="inlineStr">
        <is>
          <t>Mostrar o Swagger UI e um cartão de evidência (requisição → resposta → SQL).</t>
        </is>
      </c>
    </row>
    <row r="7">
      <c r="A7" s="2" t="inlineStr">
        <is>
          <t>A</t>
        </is>
      </c>
      <c r="B7" s="2" t="inlineStr">
        <is>
          <t>Migrações profissionais (evidência em ≥50% das sprints)</t>
        </is>
      </c>
      <c r="C7" s="2" t="inlineStr">
        <is>
          <t>Backend</t>
        </is>
      </c>
      <c r="D7" s="2" t="n">
        <v>1</v>
      </c>
      <c r="E7" s="2" t="inlineStr">
        <is>
          <t>30% agora → 100%</t>
        </is>
      </c>
      <c r="F7" s="2" t="n">
        <v>1</v>
      </c>
      <c r="G7" s="6" t="inlineStr">
        <is>
          <t>PARCIAL</t>
        </is>
      </c>
      <c r="H7" s="2" t="inlineStr">
        <is>
          <t>Flyway V1–V21, uma migração por mudança (ex.: V20 loja/criador do guarda-roupa, V21 marca da peça pela busca web). As migrações foram commitadas em 2 dias (23 e 24/09), o que só garante a faixa de 30%.</t>
        </is>
      </c>
      <c r="I7" s="2" t="inlineStr">
        <is>
          <t>A partir desta sprint, toda mudança de banco entra como V22, V23…, commitada na sprint em que foi feita; tabela 'migração × sprint' no TDE.</t>
        </is>
      </c>
    </row>
    <row r="8">
      <c r="A8" s="2" t="inlineStr">
        <is>
          <t>A</t>
        </is>
      </c>
      <c r="B8" s="2" t="inlineStr">
        <is>
          <t>Padrões de projeto e arquitetura limpa (backend)</t>
        </is>
      </c>
      <c r="C8" s="2" t="inlineStr">
        <is>
          <t>Backend</t>
        </is>
      </c>
      <c r="D8" s="2" t="n">
        <v>1</v>
      </c>
      <c r="E8" s="2" t="inlineStr">
        <is>
          <t>100%</t>
        </is>
      </c>
      <c r="F8" s="2" t="n">
        <v>1</v>
      </c>
      <c r="G8" s="3" t="inlineStr">
        <is>
          <t>OK</t>
        </is>
      </c>
      <c r="H8" s="2" t="inlineStr">
        <is>
          <t>Hexagonal em módulos Maven (domain/application/infrastructure/web/bootstrap), ports &amp; adapters, Strategy + Chain of Responsibility no AiEngine (primário → alternativa → local) e no buscador de marcas (Wikidata → Simple Icons → IA), Pipeline (LogoFilter, Flat Lay, Estúdio), Observer (eventos AFTER_COMMIT), Repository, Circuit Breaker/Retry, Facade.</t>
        </is>
      </c>
      <c r="I8" s="2" t="inlineStr">
        <is>
          <t>Escrever docs/arquitetura/PADROES.md com um trecho de código por padrão e o motivo.</t>
        </is>
      </c>
    </row>
    <row r="9">
      <c r="A9" s="2" t="inlineStr">
        <is>
          <t>B</t>
        </is>
      </c>
      <c r="B9" s="2" t="inlineStr">
        <is>
          <t>Prototipação no Figma + checklist de usabilidade + teste filmado</t>
        </is>
      </c>
      <c r="C9" s="2" t="inlineStr">
        <is>
          <t>Eng. software</t>
        </is>
      </c>
      <c r="D9" s="2" t="n">
        <v>1.5</v>
      </c>
      <c r="E9" s="2" t="inlineStr">
        <is>
          <t>60–100%</t>
        </is>
      </c>
      <c r="F9" s="2" t="n">
        <v>0.9</v>
      </c>
      <c r="G9" s="6" t="inlineStr">
        <is>
          <t>PARCIAL</t>
        </is>
      </c>
      <c r="H9" s="2" t="inlineStr">
        <is>
          <t>Anatomias dos cards (v17), anatomia do DNA (v4), telas capturadas por RF em docs/.</t>
        </is>
      </c>
      <c r="I9" s="2" t="inlineStr">
        <is>
          <t>Exportar telas para o Figma; aplicar checklist das 10 heurísticas de Nielsen; filmar 1 usuário usando o app (5 min).</t>
        </is>
      </c>
    </row>
    <row r="10">
      <c r="A10" s="2" t="inlineStr">
        <is>
          <t>B</t>
        </is>
      </c>
      <c r="B10" s="2" t="inlineStr">
        <is>
          <t>Internacionalização (textos, formatos, dados e moeda)</t>
        </is>
      </c>
      <c r="C10" s="2" t="inlineStr">
        <is>
          <t>Frontend</t>
        </is>
      </c>
      <c r="D10" s="2" t="n">
        <v>1.5</v>
      </c>
      <c r="E10" s="2" t="inlineStr">
        <is>
          <t>60–100%</t>
        </is>
      </c>
      <c r="F10" s="2" t="n">
        <v>0.9</v>
      </c>
      <c r="G10" s="3" t="inlineStr">
        <is>
          <t>OK</t>
        </is>
      </c>
      <c r="H10" s="2" t="inlineStr">
        <is>
          <t>RF23: catálogos pt-BR/en/es completos no frontend (2 743 chaves, ICU) e no backend (2 000+ chaves, MessageFormat); Accept-Language → Content-Language inclusive nos 401/403; textos gravados no banco como marcadores resolvidos no idioma de quem lê; datas, números e moeda (BRL/USD/EUR) por Intl; pseudo-idioma de QA; scripts check/scan/qa no prebuild (docs/i18n/RF23_Internacionalizacao.md).</t>
        </is>
      </c>
      <c r="I10" s="2" t="inlineStr">
        <is>
          <t>Na demo, trocar o idioma no topo e mostrar um erro da API e uma notificação em inglês.</t>
        </is>
      </c>
    </row>
    <row r="11">
      <c r="A11" s="2" t="inlineStr">
        <is>
          <t>B</t>
        </is>
      </c>
      <c r="B11" s="2" t="inlineStr">
        <is>
          <t>Acessibilidade (público, estratégias, teste com o público)</t>
        </is>
      </c>
      <c r="C11" s="2" t="inlineStr">
        <is>
          <t>Frontend</t>
        </is>
      </c>
      <c r="D11" s="2" t="n">
        <v>1.5</v>
      </c>
      <c r="E11" s="2" t="inlineStr">
        <is>
          <t>60–100%</t>
        </is>
      </c>
      <c r="F11" s="2" t="n">
        <v>0.9</v>
      </c>
      <c r="G11" s="6" t="inlineStr">
        <is>
          <t>PARCIAL</t>
        </is>
      </c>
      <c r="H11" s="2" t="inlineStr">
        <is>
          <t>Nome da cor em texto em toda peça, tema de alto contraste, combobox do buscador de marcas navegável por teclado (role=combobox/listbox), rótulos ARIA nos controles.</t>
        </is>
      </c>
      <c r="I11" s="2" t="inlineStr">
        <is>
          <t>Teste com 3 pessoas daltônicas e registrar.</t>
        </is>
      </c>
    </row>
    <row r="12">
      <c r="A12" s="2" t="inlineStr">
        <is>
          <t>B</t>
        </is>
      </c>
      <c r="B12" s="2" t="inlineStr">
        <is>
          <t>CI/CD por ambiente (dev, test, prod)</t>
        </is>
      </c>
      <c r="C12" s="2" t="inlineStr">
        <is>
          <t>DevOps</t>
        </is>
      </c>
      <c r="D12" s="2" t="n">
        <v>1.5</v>
      </c>
      <c r="E12" s="2" t="inlineStr">
        <is>
          <t>60–100%</t>
        </is>
      </c>
      <c r="F12" s="2" t="n">
        <v>0.9</v>
      </c>
      <c r="G12" s="6" t="inlineStr">
        <is>
          <t>PARCIAL</t>
        </is>
      </c>
      <c r="H12" s="2" t="inlineStr">
        <is>
          <t>Frontend com deploys automáticos Preview/Production na Vercel. Não há workflow do GitHub Actions no repositório.</t>
        </is>
      </c>
      <c r="I12" s="2" t="inlineStr">
        <is>
          <t>GitHub Actions: build + testes + JaCoCo em PR (test); deploy do backend em dev (branch) e prod (main).</t>
        </is>
      </c>
    </row>
    <row r="13">
      <c r="A13" s="2" t="inlineStr">
        <is>
          <t>B</t>
        </is>
      </c>
      <c r="B13" s="2" t="inlineStr">
        <is>
          <t>Monitoramento e observabilidade</t>
        </is>
      </c>
      <c r="C13" s="2" t="inlineStr">
        <is>
          <t>DevOps</t>
        </is>
      </c>
      <c r="D13" s="2" t="n">
        <v>1.5</v>
      </c>
      <c r="E13" s="2" t="inlineStr">
        <is>
          <t>60%</t>
        </is>
      </c>
      <c r="F13" s="2" t="n">
        <v>0.9</v>
      </c>
      <c r="G13" s="6" t="inlineStr">
        <is>
          <t>PARCIAL</t>
        </is>
      </c>
      <c r="H13" s="2" t="inlineStr">
        <is>
          <t>Actuator com health/info/metrics/prometheus expostos, audit_log, ai_inference_log com custo/latência, correlationId em todo erro, alertas no dashboard.</t>
        </is>
      </c>
      <c r="I13" s="2" t="inlineStr">
        <is>
          <t>Painel Grafana Cloud lendo /actuator/prometheus com 1 alerta (erro 5xx ou custo de IA).</t>
        </is>
      </c>
    </row>
    <row r="14">
      <c r="A14" s="2" t="inlineStr">
        <is>
          <t>B</t>
        </is>
      </c>
      <c r="B14" s="2" t="inlineStr">
        <is>
          <t>Técnica/tecnologia livre (acordada até a 3ª sprint)</t>
        </is>
      </c>
      <c r="C14" s="2" t="inlineStr">
        <is>
          <t>Livre</t>
        </is>
      </c>
      <c r="D14" s="2" t="n">
        <v>1.5</v>
      </c>
      <c r="E14" s="2" t="inlineStr">
        <is>
          <t>100% se acordado</t>
        </is>
      </c>
      <c r="F14" s="2" t="n">
        <v>1.5</v>
      </c>
      <c r="G14" s="6" t="inlineStr">
        <is>
          <t>PARCIAL</t>
        </is>
      </c>
      <c r="H14" s="2" t="inlineStr">
        <is>
          <t>Pipelines de imagem e IA: flat lay e estúdio (RF4), filtro de nitidez de logos (RF4), provador 2D (RF18), modelo 3D (RF16), quarto 3D e guarda-roupa 3D em WebGL (RF27/RF39), FLAIR (RF37).</t>
        </is>
      </c>
      <c r="I14" s="2" t="inlineStr">
        <is>
          <t>Confirmar com os professores se essa tecnologia foi registrada até a 3ª sprint.</t>
        </is>
      </c>
    </row>
    <row r="15">
      <c r="A15" s="2" t="inlineStr">
        <is>
          <t>B</t>
        </is>
      </c>
      <c r="B15" s="2" t="inlineStr">
        <is>
          <t>Processo de qualidade (plano de testes, revisão no git, reprovações de QA)</t>
        </is>
      </c>
      <c r="C15" s="2" t="inlineStr">
        <is>
          <t>Eng. software</t>
        </is>
      </c>
      <c r="D15" s="2" t="n">
        <v>1</v>
      </c>
      <c r="E15" s="2" t="inlineStr">
        <is>
          <t>60–100%</t>
        </is>
      </c>
      <c r="F15" s="2" t="n">
        <v>0.6</v>
      </c>
      <c r="G15" s="6" t="inlineStr">
        <is>
          <t>PARCIAL</t>
        </is>
      </c>
      <c r="H15" s="2" t="inlineStr">
        <is>
          <t>Teste ponta a ponta por CA (452 passos, 368 endpoints) com a tabela RF × CA × endpoint × banco × tela e até 5 fotos de evidência por endpoint (docs/testes/); bugs achados e corrigidos registrados nos commits 'fix(...)'.</t>
        </is>
      </c>
      <c r="I15" s="2" t="inlineStr">
        <is>
          <t>Plano de testes por sprint a partir dos CAs; coluna 'QA' no Trello com cards reprovados; revisão obrigatória em PR.</t>
        </is>
      </c>
    </row>
    <row r="16">
      <c r="A16" s="2" t="inlineStr">
        <is>
          <t>B</t>
        </is>
      </c>
      <c r="B16" s="2" t="inlineStr">
        <is>
          <t>Cobertura de testes do backend (JaCoCo)</t>
        </is>
      </c>
      <c r="C16" s="2" t="inlineStr">
        <is>
          <t>Backend</t>
        </is>
      </c>
      <c r="D16" s="2" t="n">
        <v>1</v>
      </c>
      <c r="E16" s="2" t="inlineStr">
        <is>
          <t>50% (0,6)</t>
        </is>
      </c>
      <c r="F16" s="2" t="n">
        <v>0.6</v>
      </c>
      <c r="G16" s="3" t="inlineStr">
        <is>
          <t>OK</t>
        </is>
      </c>
      <c r="H16" s="2" t="inlineStr">
        <is>
          <t>JaCoCo medido com o agente no backend durante o teste ponta a ponta (452 passos, 368 endpoints): 74,4% das linhas e 47,9% dos ramos do backend; 75,2% das linhas do fai-application e 90,5% do fai-web (docs/testes/COBERTURA_E2E.md, relatório HTML no pacote de evidências). Só com testes unitários a cobertura é baixa (3% no fai-application).</t>
        </is>
      </c>
      <c r="I16" s="2" t="inlineStr">
        <is>
          <t>Mostrar o relatório HTML e explicar como foi medido (agente JaCoCo + scripts/e2e/jacoco_report.jsh); se os professores exigirem cobertura só por testes unitários, escrever testes de serviço com H2/Testcontainers.</t>
        </is>
      </c>
    </row>
    <row r="17">
      <c r="A17" s="2" t="inlineStr">
        <is>
          <t>B</t>
        </is>
      </c>
      <c r="B17" s="2" t="inlineStr">
        <is>
          <t>Padrões de projeto e arquitetura limpa (frontend)</t>
        </is>
      </c>
      <c r="C17" s="2" t="inlineStr">
        <is>
          <t>Frontend</t>
        </is>
      </c>
      <c r="D17" s="2" t="n">
        <v>1</v>
      </c>
      <c r="E17" s="2" t="inlineStr">
        <is>
          <t>100%</t>
        </is>
      </c>
      <c r="F17" s="2" t="n">
        <v>1</v>
      </c>
      <c r="G17" s="6" t="inlineStr">
        <is>
          <t>PARCIAL</t>
        </is>
      </c>
      <c r="H17" s="2" t="inlineStr">
        <is>
          <t>Camadas lib/api (client), lib/hooks (useApi), components/ui, components/&lt;área&gt;; Provider de i18n e de tema.</t>
        </is>
      </c>
      <c r="I17" s="2" t="inlineStr">
        <is>
          <t>Documentar as camadas e o padrão Adapter da API em docs/arquitetura.</t>
        </is>
      </c>
    </row>
    <row r="18">
      <c r="A18" s="2" t="inlineStr">
        <is>
          <t>C</t>
        </is>
      </c>
      <c r="B18" s="2" t="inlineStr">
        <is>
          <t>NoSQL avançado (JSON Schema, índices/TTL, aggregation/sharding)</t>
        </is>
      </c>
      <c r="C18" s="2" t="inlineStr">
        <is>
          <t>Backend</t>
        </is>
      </c>
      <c r="D18" s="2" t="n">
        <v>1.5</v>
      </c>
      <c r="E18" s="2" t="inlineStr">
        <is>
          <t>30–60%</t>
        </is>
      </c>
      <c r="F18" s="2" t="n">
        <v>0.45</v>
      </c>
      <c r="G18" s="6" t="inlineStr">
        <is>
          <t>PARCIAL</t>
        </is>
      </c>
      <c r="H18" s="2" t="inlineStr">
        <is>
          <t>Cassandra (timeline_by_user e notifications_by_user com TTL de 90/30 dias) e Redis (contadores, rate limit) atrás de feature flags; desligados no ambiente de teste.</t>
        </is>
      </c>
      <c r="I18" s="2" t="inlineStr">
        <is>
          <t>Só vale se sobrar tempo: subir Cassandra/Redis no docker-compose e mostrar a timeline particionada.</t>
        </is>
      </c>
    </row>
    <row r="19">
      <c r="A19" s="2" t="inlineStr">
        <is>
          <t>C</t>
        </is>
      </c>
      <c r="B19" s="2" t="inlineStr">
        <is>
          <t>Microsserviços</t>
        </is>
      </c>
      <c r="C19" s="2" t="inlineStr">
        <is>
          <t>Backend</t>
        </is>
      </c>
      <c r="D19" s="2" t="n">
        <v>1.5</v>
      </c>
      <c r="E19" s="2" t="inlineStr">
        <is>
          <t>—</t>
        </is>
      </c>
      <c r="F19" s="2" t="n">
        <v>0</v>
      </c>
      <c r="G19" s="7" t="inlineStr">
        <is>
          <t>NÃO SE APLICA</t>
        </is>
      </c>
      <c r="H19" s="2" t="inlineStr">
        <is>
          <t>Arquitetura é monólito modular hexagonal (decisão consciente).</t>
        </is>
      </c>
      <c r="I19" s="2" t="inlineStr">
        <is>
          <t>Não perseguir.</t>
        </is>
      </c>
    </row>
    <row r="20">
      <c r="A20" s="2" t="inlineStr">
        <is>
          <t>C</t>
        </is>
      </c>
      <c r="B20" s="2" t="inlineStr">
        <is>
          <t>Service Discovery + API Gateway</t>
        </is>
      </c>
      <c r="C20" s="2" t="inlineStr">
        <is>
          <t>Backend</t>
        </is>
      </c>
      <c r="D20" s="2" t="n">
        <v>1</v>
      </c>
      <c r="E20" s="2" t="inlineStr">
        <is>
          <t>—</t>
        </is>
      </c>
      <c r="F20" s="2" t="n">
        <v>0</v>
      </c>
      <c r="G20" s="7" t="inlineStr">
        <is>
          <t>NÃO SE APLICA</t>
        </is>
      </c>
      <c r="H20" s="2" t="inlineStr">
        <is>
          <t>—</t>
        </is>
      </c>
      <c r="I20" s="2" t="inlineStr">
        <is>
          <t>Não perseguir.</t>
        </is>
      </c>
    </row>
    <row r="21">
      <c r="A21" s="2" t="inlineStr">
        <is>
          <t>C</t>
        </is>
      </c>
      <c r="B21" s="2" t="inlineStr">
        <is>
          <t>Cobertura de testes do frontend</t>
        </is>
      </c>
      <c r="C21" s="2" t="inlineStr">
        <is>
          <t>Frontend</t>
        </is>
      </c>
      <c r="D21" s="2" t="n">
        <v>1</v>
      </c>
      <c r="E21" s="2" t="inlineStr">
        <is>
          <t>20% (0,3)</t>
        </is>
      </c>
      <c r="F21" s="2" t="n">
        <v>0.3</v>
      </c>
      <c r="G21" s="4" t="inlineStr">
        <is>
          <t>PENDENTE</t>
        </is>
      </c>
      <c r="H21" s="2" t="inlineStr">
        <is>
          <t>Capturas automatizadas com Playwright (fluxos RF4/RF5/RF13/RF39), mas sem testes unitários de componentes.</t>
        </is>
      </c>
      <c r="I21" s="2" t="inlineStr">
        <is>
          <t>Opcional: Vitest nos componentes utilitários.</t>
        </is>
      </c>
    </row>
    <row r="22">
      <c r="A22" s="2" t="inlineStr">
        <is>
          <t>C</t>
        </is>
      </c>
      <c r="B22" s="2" t="inlineStr">
        <is>
          <t>Infraestrutura como código</t>
        </is>
      </c>
      <c r="C22" s="2" t="inlineStr">
        <is>
          <t>DevOps</t>
        </is>
      </c>
      <c r="D22" s="2" t="n">
        <v>1</v>
      </c>
      <c r="E22" s="2" t="inlineStr">
        <is>
          <t>30–60%</t>
        </is>
      </c>
      <c r="F22" s="2" t="n">
        <v>0.3</v>
      </c>
      <c r="G22" s="6" t="inlineStr">
        <is>
          <t>PARCIAL</t>
        </is>
      </c>
      <c r="H22" s="2" t="inlineStr">
        <is>
          <t>docker-compose.dev.yml com MySQL/Redis/Cassandra/OpenSearch/MinIO.</t>
        </is>
      </c>
      <c r="I22" s="2" t="inlineStr">
        <is>
          <t>Terraform só se sobrar tempo.</t>
        </is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inlineStr"/>
      <c r="B24" s="8" t="inlineStr">
        <is>
          <t>Total previsto — prioridade A</t>
        </is>
      </c>
      <c r="C24" s="2" t="inlineStr"/>
      <c r="D24" s="2" t="inlineStr"/>
      <c r="E24" s="2" t="inlineStr"/>
      <c r="F24" s="2">
        <f>SUMIF(A2:A22,"A",F2:F22)</f>
        <v/>
      </c>
      <c r="G24" s="2" t="n"/>
      <c r="H24" s="2" t="n"/>
      <c r="I24" s="2" t="n"/>
    </row>
    <row r="25">
      <c r="A25" s="2" t="inlineStr"/>
      <c r="B25" s="8" t="inlineStr">
        <is>
          <t>Total previsto — prioridade B</t>
        </is>
      </c>
      <c r="C25" s="2" t="inlineStr"/>
      <c r="D25" s="2" t="inlineStr"/>
      <c r="E25" s="2" t="inlineStr"/>
      <c r="F25" s="2">
        <f>SUMIF(A2:A22,"B",F2:F22)</f>
        <v/>
      </c>
      <c r="G25" s="2" t="n"/>
      <c r="H25" s="2" t="n"/>
      <c r="I25" s="2" t="n"/>
    </row>
    <row r="26">
      <c r="A26" s="2" t="inlineStr"/>
      <c r="B26" s="8" t="inlineStr">
        <is>
          <t>Obrigatórios (se todos entregues)</t>
        </is>
      </c>
      <c r="C26" s="2" t="inlineStr"/>
      <c r="D26" s="2" t="inlineStr"/>
      <c r="E26" s="2" t="inlineStr"/>
      <c r="F26" s="2" t="n">
        <v>2.5</v>
      </c>
      <c r="G26" s="2" t="n"/>
      <c r="H26" s="2" t="n"/>
      <c r="I26" s="2" t="n"/>
    </row>
    <row r="27">
      <c r="A27" s="2" t="inlineStr"/>
      <c r="B27" s="8" t="inlineStr">
        <is>
          <t>Nota prevista (A + obrigatórios)</t>
        </is>
      </c>
      <c r="C27" s="2" t="inlineStr"/>
      <c r="D27" s="2" t="inlineStr"/>
      <c r="E27" s="2" t="inlineStr"/>
      <c r="F27" s="2">
        <f>F24+F26</f>
        <v/>
      </c>
      <c r="G27" s="2" t="n"/>
      <c r="H27" s="2" t="n"/>
      <c r="I27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2026-09-25T12:09:27Z</dcterms:created>
  <dcterms:modified xsi:type="dcterms:W3CDTF">2026-09-25T12:09:27Z</dcterms:modified>
</cp:coreProperties>
</file>